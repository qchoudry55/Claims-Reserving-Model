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Qasim\Finance Projects\"/>
    </mc:Choice>
  </mc:AlternateContent>
  <xr:revisionPtr revIDLastSave="0" documentId="13_ncr:1_{F921F77F-54D6-4074-A0AA-AFD464AC18D2}" xr6:coauthVersionLast="47" xr6:coauthVersionMax="47" xr10:uidLastSave="{00000000-0000-0000-0000-000000000000}"/>
  <bookViews>
    <workbookView xWindow="-98" yWindow="-98" windowWidth="21795" windowHeight="12975" xr2:uid="{808F6F6B-FEBC-4E33-9A30-36900E13F596}"/>
  </bookViews>
  <sheets>
    <sheet name="Chain-Ladder Reserving Triang" sheetId="2" r:id="rId1"/>
    <sheet name="Sheet1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1" i="2" l="1"/>
  <c r="B20" i="2"/>
  <c r="B19" i="2"/>
  <c r="B18" i="2"/>
  <c r="B17" i="2"/>
  <c r="C16" i="2"/>
  <c r="B16" i="2"/>
  <c r="A16" i="2"/>
  <c r="F11" i="2"/>
  <c r="F12" i="2" s="1"/>
  <c r="E11" i="2"/>
  <c r="E12" i="2" s="1"/>
  <c r="D11" i="2"/>
  <c r="D12" i="2" s="1"/>
  <c r="C11" i="2"/>
  <c r="C12" i="2" s="1"/>
  <c r="D7" i="2" s="1"/>
  <c r="B11" i="2"/>
  <c r="B12" i="2" s="1"/>
  <c r="C8" i="2" s="1"/>
  <c r="D8" i="2" s="1"/>
  <c r="G10" i="2"/>
  <c r="F10" i="2"/>
  <c r="E10" i="2"/>
  <c r="D10" i="2"/>
  <c r="C10" i="2"/>
  <c r="B10" i="2"/>
  <c r="E7" i="2" l="1"/>
  <c r="E6" i="2"/>
  <c r="F6" i="2" s="1"/>
  <c r="G6" i="2" s="1"/>
  <c r="A19" i="2" s="1"/>
  <c r="C19" i="2" s="1"/>
  <c r="F7" i="2"/>
  <c r="F5" i="2"/>
  <c r="G5" i="2" s="1"/>
  <c r="A18" i="2" s="1"/>
  <c r="C18" i="2" s="1"/>
  <c r="G4" i="2"/>
  <c r="A17" i="2" s="1"/>
  <c r="C17" i="2" s="1"/>
  <c r="G7" i="2"/>
  <c r="A20" i="2" s="1"/>
  <c r="C20" i="2" s="1"/>
  <c r="E8" i="2"/>
  <c r="F8" i="2" s="1"/>
  <c r="G8" i="2" s="1"/>
  <c r="A21" i="2" s="1"/>
  <c r="C21" i="2" s="1"/>
  <c r="C23" i="2" s="1"/>
</calcChain>
</file>

<file path=xl/sharedStrings.xml><?xml version="1.0" encoding="utf-8"?>
<sst xmlns="http://schemas.openxmlformats.org/spreadsheetml/2006/main" count="9" uniqueCount="9">
  <si>
    <t>Accident Year</t>
  </si>
  <si>
    <t>Development Year</t>
  </si>
  <si>
    <t>Total Sum of Pools</t>
  </si>
  <si>
    <t>Dev. Sum of Pools</t>
  </si>
  <si>
    <t>Dev. Factor</t>
  </si>
  <si>
    <t>Proj. Final Claims</t>
  </si>
  <si>
    <t>Claims of Yr Before</t>
  </si>
  <si>
    <t>Reserves</t>
  </si>
  <si>
    <t>Total Reserves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</si>
</sst>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/>
    <xf numFmtId="3" fontId="0" fillId="2" borderId="0" xfId="0" applyNumberFormat="1" applyFill="1"/>
    <xf numFmtId="164" fontId="0" fillId="0" borderId="0" xfId="0" applyNumberFormat="1"/>
    <xf numFmtId="0" fontId="1" fillId="0" borderId="0" xfId="0" applyFont="1" applyFill="1"/>
    <xf numFmtId="3" fontId="0" fillId="0" borderId="0" xfId="0" applyNumberFormat="1" applyFill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Dev. Year vs. Dev. Factor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'Chain-Ladder Reserving Triang'!$B$2:$F$2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'Chain-Ladder Reserving Triang'!$B$12:$F$12</c:f>
              <c:numCache>
                <c:formatCode>0.00000</c:formatCode>
                <c:ptCount val="5"/>
                <c:pt idx="0">
                  <c:v>1.6250076348725688</c:v>
                </c:pt>
                <c:pt idx="1">
                  <c:v>1.2615387525829165</c:v>
                </c:pt>
                <c:pt idx="2">
                  <c:v>1.1097560975609757</c:v>
                </c:pt>
                <c:pt idx="3">
                  <c:v>1.0659340659340659</c:v>
                </c:pt>
                <c:pt idx="4">
                  <c:v>1.0309278350515463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E1-4505-98B9-622622FF1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77871"/>
        <c:axId val="401866095"/>
      </c:scatterChart>
      <c:valAx>
        <c:axId val="99717787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866095"/>
        <c:crosses val="autoZero"/>
        <c:crossBetween val="midCat"/>
      </c:valAx>
      <c:valAx>
        <c:axId val="40186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Dev.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177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557213</xdr:colOff>
      <xdr:row>2</xdr:row>
      <xdr:rowOff>23813</xdr:rowOff>
    </xdr:from>
    <xdr:to>
      <xdr:col>14</xdr:col>
      <xdr:colOff>461962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CC7EDF-5BE1-4F88-ACBE-8CD90FB25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Qasim\Finance%20Projects\Annotated%20Finance%20Projects.xlsx" TargetMode="External"/><Relationship Id="rId1" Type="http://schemas.openxmlformats.org/officeDocument/2006/relationships/externalLinkPath" Target="Annotated%20Finance%20Projec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F Method"/>
      <sheetName val="Chain-Ladder Reserving Triang"/>
      <sheetName val="Sheet 1"/>
    </sheetNames>
    <sheetDataSet>
      <sheetData sheetId="0" refreshError="1"/>
      <sheetData sheetId="1">
        <row r="2">
          <cell r="B2">
            <v>0</v>
          </cell>
          <cell r="C2">
            <v>1</v>
          </cell>
          <cell r="D2">
            <v>2</v>
          </cell>
          <cell r="E2">
            <v>3</v>
          </cell>
          <cell r="F2">
            <v>4</v>
          </cell>
        </row>
        <row r="12">
          <cell r="B12">
            <v>1.6250076348725688</v>
          </cell>
          <cell r="C12">
            <v>1.2615387525829165</v>
          </cell>
          <cell r="D12">
            <v>1.1097560975609757</v>
          </cell>
          <cell r="E12">
            <v>1.0659340659340659</v>
          </cell>
          <cell r="F12">
            <v>1.0309278350515463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7C214-D098-4B02-8C6A-3403565B7B06}">
  <dimension ref="A1:G38"/>
  <sheetViews>
    <sheetView tabSelected="1" zoomScaleNormal="100" workbookViewId="0">
      <selection activeCell="D13" sqref="D13"/>
    </sheetView>
  </sheetViews>
  <sheetFormatPr defaultRowHeight="14.25" x14ac:dyDescent="0.45"/>
  <cols>
    <col min="1" max="1" width="19.86328125" style="1" customWidth="1"/>
    <col min="2" max="2" width="16.6640625" customWidth="1"/>
    <col min="3" max="3" width="9.796875" bestFit="1" customWidth="1"/>
    <col min="4" max="7" width="11.33203125" bestFit="1" customWidth="1"/>
    <col min="9" max="9" width="14.59765625" bestFit="1" customWidth="1"/>
    <col min="10" max="10" width="15.9296875" bestFit="1" customWidth="1"/>
  </cols>
  <sheetData>
    <row r="1" spans="1:7" s="1" customFormat="1" x14ac:dyDescent="0.45">
      <c r="A1" s="1" t="s">
        <v>0</v>
      </c>
      <c r="B1" s="2" t="s">
        <v>1</v>
      </c>
      <c r="C1" s="2"/>
      <c r="D1" s="2"/>
      <c r="E1" s="2"/>
      <c r="F1" s="2"/>
      <c r="G1" s="2"/>
    </row>
    <row r="2" spans="1:7" s="1" customFormat="1" x14ac:dyDescent="0.45">
      <c r="B2" s="1">
        <v>0</v>
      </c>
      <c r="C2" s="1">
        <v>1</v>
      </c>
      <c r="D2" s="1">
        <v>2</v>
      </c>
      <c r="E2" s="1">
        <v>3</v>
      </c>
      <c r="F2" s="1">
        <v>4</v>
      </c>
      <c r="G2" s="6">
        <v>5</v>
      </c>
    </row>
    <row r="3" spans="1:7" x14ac:dyDescent="0.45">
      <c r="A3" s="1">
        <v>2019</v>
      </c>
      <c r="B3" s="3">
        <v>400000</v>
      </c>
      <c r="C3" s="3">
        <v>650000</v>
      </c>
      <c r="D3" s="3">
        <v>820000</v>
      </c>
      <c r="E3" s="3">
        <v>910000</v>
      </c>
      <c r="F3" s="3">
        <v>970000</v>
      </c>
      <c r="G3" s="7">
        <v>1000000</v>
      </c>
    </row>
    <row r="4" spans="1:7" x14ac:dyDescent="0.45">
      <c r="A4" s="1">
        <v>2020</v>
      </c>
      <c r="B4" s="3">
        <v>420000</v>
      </c>
      <c r="C4" s="3">
        <v>682500</v>
      </c>
      <c r="D4" s="3">
        <v>861000</v>
      </c>
      <c r="E4" s="3">
        <v>955500</v>
      </c>
      <c r="F4" s="7">
        <v>1018500</v>
      </c>
      <c r="G4" s="4">
        <f>F4*F12</f>
        <v>1050000</v>
      </c>
    </row>
    <row r="5" spans="1:7" x14ac:dyDescent="0.45">
      <c r="A5" s="1">
        <v>2021</v>
      </c>
      <c r="B5" s="3">
        <v>441000</v>
      </c>
      <c r="C5" s="3">
        <v>716625</v>
      </c>
      <c r="D5" s="3">
        <v>904050</v>
      </c>
      <c r="E5" s="7">
        <v>1003275</v>
      </c>
      <c r="F5" s="4">
        <f>E5*E12</f>
        <v>1069425</v>
      </c>
      <c r="G5" s="4">
        <f>F5*F12</f>
        <v>1102499.9999999998</v>
      </c>
    </row>
    <row r="6" spans="1:7" x14ac:dyDescent="0.45">
      <c r="A6" s="1">
        <v>2022</v>
      </c>
      <c r="B6" s="3">
        <v>463050</v>
      </c>
      <c r="C6" s="3">
        <v>752456</v>
      </c>
      <c r="D6" s="7">
        <v>949253</v>
      </c>
      <c r="E6" s="4">
        <f>D6*D12</f>
        <v>1053439.3048780488</v>
      </c>
      <c r="F6" s="4">
        <f>E6*E12</f>
        <v>1122896.8414634147</v>
      </c>
      <c r="G6" s="4">
        <f>F6*F12</f>
        <v>1157625.6097560974</v>
      </c>
    </row>
    <row r="7" spans="1:7" x14ac:dyDescent="0.45">
      <c r="A7" s="6">
        <v>2023</v>
      </c>
      <c r="B7" s="3">
        <v>486203</v>
      </c>
      <c r="C7" s="7">
        <v>790097</v>
      </c>
      <c r="D7" s="4">
        <f>C12*C7</f>
        <v>996737.98379950458</v>
      </c>
      <c r="E7" s="4">
        <f t="shared" ref="E7:G7" si="0">D12*D7</f>
        <v>1106136.0551921332</v>
      </c>
      <c r="F7" s="4">
        <f t="shared" si="0"/>
        <v>1179068.1027872188</v>
      </c>
      <c r="G7" s="4">
        <f t="shared" si="0"/>
        <v>1215534.1265847615</v>
      </c>
    </row>
    <row r="8" spans="1:7" x14ac:dyDescent="0.45">
      <c r="A8" s="6">
        <v>2024</v>
      </c>
      <c r="B8" s="7">
        <v>510513</v>
      </c>
      <c r="C8" s="4">
        <f>B12*B8</f>
        <v>829587.52270169975</v>
      </c>
      <c r="D8" s="4">
        <f>C8*C12</f>
        <v>1046556.8085474542</v>
      </c>
      <c r="E8" s="4">
        <f t="shared" ref="E8:G8" si="1">D8*D12</f>
        <v>1161422.799729492</v>
      </c>
      <c r="F8" s="4">
        <f t="shared" si="1"/>
        <v>1238000.1271841838</v>
      </c>
      <c r="G8" s="4">
        <f t="shared" si="1"/>
        <v>1276288.7909115294</v>
      </c>
    </row>
    <row r="9" spans="1:7" x14ac:dyDescent="0.45">
      <c r="A9" s="6"/>
      <c r="B9" s="8"/>
    </row>
    <row r="10" spans="1:7" x14ac:dyDescent="0.45">
      <c r="A10" s="6" t="s">
        <v>2</v>
      </c>
      <c r="B10" s="7">
        <f>SUM(B3:B8)</f>
        <v>2720766</v>
      </c>
      <c r="C10" s="3">
        <f>SUM(C3:C7)</f>
        <v>3591678</v>
      </c>
      <c r="D10" s="3">
        <f>SUM(D3:D6)</f>
        <v>3534303</v>
      </c>
      <c r="E10" s="3">
        <f>SUM(E3:E5)</f>
        <v>2868775</v>
      </c>
      <c r="F10" s="3">
        <f>SUM(F3:F4)</f>
        <v>1988500</v>
      </c>
      <c r="G10" s="3">
        <f>SUM(G3)</f>
        <v>1000000</v>
      </c>
    </row>
    <row r="11" spans="1:7" x14ac:dyDescent="0.45">
      <c r="A11" s="6" t="s">
        <v>3</v>
      </c>
      <c r="B11" s="7">
        <f>SUM(B3:B7)</f>
        <v>2210253</v>
      </c>
      <c r="C11" s="3">
        <f>SUM(C3:C6)</f>
        <v>2801581</v>
      </c>
      <c r="D11" s="3">
        <f>SUM(D3:D5)</f>
        <v>2585050</v>
      </c>
      <c r="E11" s="3">
        <f>SUM(E3:E4)</f>
        <v>1865500</v>
      </c>
      <c r="F11" s="3">
        <f>F3</f>
        <v>970000</v>
      </c>
    </row>
    <row r="12" spans="1:7" x14ac:dyDescent="0.45">
      <c r="A12" s="6" t="s">
        <v>4</v>
      </c>
      <c r="B12" s="9">
        <f>C10/B11</f>
        <v>1.6250076348725688</v>
      </c>
      <c r="C12" s="5">
        <f t="shared" ref="C12:E12" si="2">D10/C11</f>
        <v>1.2615387525829165</v>
      </c>
      <c r="D12" s="5">
        <f t="shared" si="2"/>
        <v>1.1097560975609757</v>
      </c>
      <c r="E12" s="5">
        <f t="shared" si="2"/>
        <v>1.0659340659340659</v>
      </c>
      <c r="F12" s="5">
        <f>G10/F11</f>
        <v>1.0309278350515463</v>
      </c>
    </row>
    <row r="13" spans="1:7" x14ac:dyDescent="0.45">
      <c r="A13" s="6"/>
      <c r="B13" s="8"/>
    </row>
    <row r="14" spans="1:7" x14ac:dyDescent="0.45">
      <c r="A14" s="6"/>
      <c r="B14" s="8"/>
    </row>
    <row r="15" spans="1:7" x14ac:dyDescent="0.45">
      <c r="A15" s="6" t="s">
        <v>5</v>
      </c>
      <c r="B15" s="6" t="s">
        <v>6</v>
      </c>
      <c r="C15" s="1" t="s">
        <v>7</v>
      </c>
    </row>
    <row r="16" spans="1:7" x14ac:dyDescent="0.45">
      <c r="A16" s="3">
        <f t="shared" ref="A16:A21" si="3">G3</f>
        <v>1000000</v>
      </c>
      <c r="B16" s="3">
        <f>G3</f>
        <v>1000000</v>
      </c>
      <c r="C16" s="3">
        <f t="shared" ref="C16:C21" si="4">A16-B16</f>
        <v>0</v>
      </c>
    </row>
    <row r="17" spans="1:3" x14ac:dyDescent="0.45">
      <c r="A17" s="3">
        <f t="shared" si="3"/>
        <v>1050000</v>
      </c>
      <c r="B17" s="3">
        <f>F4</f>
        <v>1018500</v>
      </c>
      <c r="C17" s="3">
        <f t="shared" si="4"/>
        <v>31500</v>
      </c>
    </row>
    <row r="18" spans="1:3" x14ac:dyDescent="0.45">
      <c r="A18" s="3">
        <f t="shared" si="3"/>
        <v>1102499.9999999998</v>
      </c>
      <c r="B18" s="3">
        <f>E5</f>
        <v>1003275</v>
      </c>
      <c r="C18" s="3">
        <f t="shared" si="4"/>
        <v>99224.999999999767</v>
      </c>
    </row>
    <row r="19" spans="1:3" x14ac:dyDescent="0.45">
      <c r="A19" s="3">
        <f t="shared" si="3"/>
        <v>1157625.6097560974</v>
      </c>
      <c r="B19" s="3">
        <f>D6</f>
        <v>949253</v>
      </c>
      <c r="C19" s="3">
        <f t="shared" si="4"/>
        <v>208372.60975609743</v>
      </c>
    </row>
    <row r="20" spans="1:3" x14ac:dyDescent="0.45">
      <c r="A20" s="3">
        <f t="shared" si="3"/>
        <v>1215534.1265847615</v>
      </c>
      <c r="B20" s="3">
        <f>C7</f>
        <v>790097</v>
      </c>
      <c r="C20" s="3">
        <f t="shared" si="4"/>
        <v>425437.12658476154</v>
      </c>
    </row>
    <row r="21" spans="1:3" x14ac:dyDescent="0.45">
      <c r="A21" s="3">
        <f t="shared" si="3"/>
        <v>1276288.7909115294</v>
      </c>
      <c r="B21" s="3">
        <f>B8</f>
        <v>510513</v>
      </c>
      <c r="C21" s="3">
        <f t="shared" si="4"/>
        <v>765775.79091152945</v>
      </c>
    </row>
    <row r="22" spans="1:3" x14ac:dyDescent="0.45">
      <c r="A22"/>
    </row>
    <row r="23" spans="1:3" x14ac:dyDescent="0.45">
      <c r="A23"/>
      <c r="B23" s="1" t="s">
        <v>8</v>
      </c>
      <c r="C23" s="3">
        <f>SUM(C16:C21)</f>
        <v>1530310.5272523882</v>
      </c>
    </row>
    <row r="34" spans="1:1" x14ac:dyDescent="0.45">
      <c r="A34" s="8"/>
    </row>
    <row r="35" spans="1:1" x14ac:dyDescent="0.45">
      <c r="A35" s="8"/>
    </row>
    <row r="36" spans="1:1" x14ac:dyDescent="0.45">
      <c r="A36" s="8"/>
    </row>
    <row r="37" spans="1:1" x14ac:dyDescent="0.45">
      <c r="A37" s="8"/>
    </row>
    <row r="38" spans="1:1" x14ac:dyDescent="0.45">
      <c r="A38" s="8"/>
    </row>
  </sheetData>
  <mergeCells count="1">
    <mergeCell ref="B1:G1"/>
  </mergeCells>
  <pageMargins left="0.7" right="0.7" top="0.75" bottom="0.75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FC95A-2D5C-4682-8F94-7C57F9C32B39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Chain-Ladder Reserving Triang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Choudry, QASIM A</dc:creator>
  <cp:lastModifiedBy>Choudry, QASIM A</cp:lastModifiedBy>
  <dcterms:created xsi:type="dcterms:W3CDTF">2026-09-10T00:33:49Z</dcterms:created>
  <dcterms:modified xsi:type="dcterms:W3CDTF">2026-09-10T10:17:12Z</dcterms:modified>
</cp:coreProperties>
</file>