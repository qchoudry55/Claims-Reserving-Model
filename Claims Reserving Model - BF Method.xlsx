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asim\Finance Projects\"/>
    </mc:Choice>
  </mc:AlternateContent>
  <xr:revisionPtr revIDLastSave="0" documentId="13_ncr:1_{1F5F9D40-E1FB-48AB-AE59-6E6B42CE69DF}" xr6:coauthVersionLast="47" xr6:coauthVersionMax="47" xr10:uidLastSave="{00000000-0000-0000-0000-000000000000}"/>
  <bookViews>
    <workbookView xWindow="-98" yWindow="-98" windowWidth="21795" windowHeight="12975" xr2:uid="{AFF68210-52F5-4119-B6F2-9BC1CC5F95B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2" l="1"/>
  <c r="C10" i="2"/>
  <c r="B12" i="2" s="1"/>
  <c r="C8" i="2" s="1"/>
  <c r="D8" i="2" s="1"/>
  <c r="E8" i="2" s="1"/>
  <c r="F8" i="2" s="1"/>
  <c r="D10" i="2"/>
  <c r="C12" i="2" s="1"/>
  <c r="D7" i="2" s="1"/>
  <c r="E10" i="2"/>
  <c r="D12" i="2" s="1"/>
  <c r="F10" i="2"/>
  <c r="E12" i="2" s="1"/>
  <c r="G10" i="2"/>
  <c r="F12" i="2" s="1"/>
  <c r="B11" i="2"/>
  <c r="C11" i="2"/>
  <c r="D11" i="2"/>
  <c r="E11" i="2"/>
  <c r="F11" i="2"/>
  <c r="B15" i="2"/>
  <c r="C15" i="2"/>
  <c r="D15" i="2"/>
  <c r="D16" i="2" s="1"/>
  <c r="E15" i="2"/>
  <c r="F15" i="2"/>
  <c r="G4" i="2" l="1"/>
  <c r="B16" i="2" s="1"/>
  <c r="C16" i="2" s="1"/>
  <c r="F5" i="2"/>
  <c r="G5" i="2" s="1"/>
  <c r="B17" i="2" s="1"/>
  <c r="C17" i="2" s="1"/>
  <c r="E6" i="2"/>
  <c r="F6" i="2" s="1"/>
  <c r="G6" i="2" s="1"/>
  <c r="B18" i="2" s="1"/>
  <c r="C18" i="2" s="1"/>
  <c r="E7" i="2"/>
  <c r="F7" i="2" s="1"/>
  <c r="G7" i="2" s="1"/>
  <c r="B19" i="2" s="1"/>
  <c r="C19" i="2" s="1"/>
  <c r="E16" i="2"/>
  <c r="D17" i="2"/>
  <c r="G8" i="2"/>
  <c r="B20" i="2" s="1"/>
  <c r="C20" i="2" s="1"/>
  <c r="D18" i="2" l="1"/>
  <c r="E17" i="2"/>
  <c r="F17" i="2" s="1"/>
  <c r="F16" i="2"/>
  <c r="D19" i="2" l="1"/>
  <c r="E18" i="2"/>
  <c r="F18" i="2" s="1"/>
  <c r="D20" i="2" l="1"/>
  <c r="E20" i="2" s="1"/>
  <c r="F20" i="2" s="1"/>
  <c r="E19" i="2"/>
  <c r="F19" i="2" s="1"/>
</calcChain>
</file>

<file path=xl/sharedStrings.xml><?xml version="1.0" encoding="utf-8"?>
<sst xmlns="http://schemas.openxmlformats.org/spreadsheetml/2006/main" count="14" uniqueCount="12">
  <si>
    <t>BF Ultimate</t>
  </si>
  <si>
    <t>Chain-Ladder Claim</t>
  </si>
  <si>
    <t>Loss ratio</t>
  </si>
  <si>
    <t>Exp. Losses</t>
  </si>
  <si>
    <t>Premiums</t>
  </si>
  <si>
    <t>% unreported</t>
  </si>
  <si>
    <t>% developed</t>
  </si>
  <si>
    <t>Accident Year</t>
  </si>
  <si>
    <t>Dev. Factor</t>
  </si>
  <si>
    <t>Dev. Sum of Pools</t>
  </si>
  <si>
    <t>Total Sum of Pools</t>
  </si>
  <si>
    <t>Development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</si>
</sst>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0" fillId="0" borderId="0" xfId="1" applyNumberFormat="1" applyFont="1" applyFill="1"/>
    <xf numFmtId="3" fontId="0" fillId="0" borderId="0" xfId="0" applyNumberFormat="1"/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0" fontId="2" fillId="0" borderId="0" xfId="0" applyFont="1" applyAlignment="1">
      <alignment horizontal="center"/>
    </xf>
    <xf numFmtId="165" fontId="0" fillId="0" borderId="0" xfId="0" applyNumberFormat="1"/>
    <xf numFmtId="3" fontId="0" fillId="2" borderId="0" xfId="0" applyNumberFormat="1" applyFill="1"/>
    <xf numFmtId="1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How Chain-Ladder Claims</a:t>
            </a:r>
            <a:r>
              <a:rPr lang="en-GB" baseline="0"/>
              <a:t> and BF Ultimates Differ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Chain-Ladder Claim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Sheet1!$A$15:$A$20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Sheet1!$A$43:$A$48</c:f>
              <c:numCache>
                <c:formatCode>#,##0</c:formatCode>
                <c:ptCount val="6"/>
                <c:pt idx="0">
                  <c:v>1000000</c:v>
                </c:pt>
                <c:pt idx="1">
                  <c:v>1040206</c:v>
                </c:pt>
                <c:pt idx="2">
                  <c:v>1119871</c:v>
                </c:pt>
                <c:pt idx="3">
                  <c:v>1282653</c:v>
                </c:pt>
                <c:pt idx="4">
                  <c:v>1633447</c:v>
                </c:pt>
                <c:pt idx="5">
                  <c:v>1825394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1-4886-B5F5-12DC631F8811}"/>
            </c:ext>
          </c:extLst>
        </c:ser>
        <c:ser>
          <c:idx val="1"/>
          <c:order val="1"/>
          <c:tx>
            <c:v>BF Ultimate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Sheet1!$A$15:$A$20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Sheet1!$B$43:$B$48</c:f>
              <c:numCache>
                <c:formatCode>_-* #,##0_-;\-* #,##0_-;_-* "-"??_-;_-@_-</c:formatCode>
                <c:ptCount val="6"/>
                <c:pt idx="0">
                  <c:v>1000000</c:v>
                </c:pt>
                <c:pt idx="1">
                  <c:v>1040500</c:v>
                </c:pt>
                <c:pt idx="2">
                  <c:v>1118384</c:v>
                </c:pt>
                <c:pt idx="3">
                  <c:v>1259902</c:v>
                </c:pt>
                <c:pt idx="4">
                  <c:v>1479059</c:v>
                </c:pt>
                <c:pt idx="5">
                  <c:v>1476025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1-4886-B5F5-12DC631F8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646128"/>
        <c:axId val="650634128"/>
      </c:barChart>
      <c:catAx>
        <c:axId val="65064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Accident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634128"/>
        <c:crosses val="autoZero"/>
        <c:auto val="1"/>
        <c:lblAlgn val="ctr"/>
        <c:lblOffset val="100"/>
        <c:noMultiLvlLbl val="0"/>
      </c:catAx>
      <c:valAx>
        <c:axId val="6506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Ultimate</a:t>
                </a:r>
                <a:r>
                  <a:rPr lang="en-GB" b="1" baseline="0"/>
                  <a:t> Losses ($)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64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297656</xdr:colOff>
      <xdr:row>3</xdr:row>
      <xdr:rowOff>112447</xdr:rowOff>
    </xdr:from>
    <xdr:to>
      <xdr:col>20</xdr:col>
      <xdr:colOff>79375</xdr:colOff>
      <xdr:row>30</xdr:row>
      <xdr:rowOff>6611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5CDDE-9902-40C5-AB1A-FEB5F538E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29C9-1CA2-42AA-91EF-87C94B985F1E}">
  <dimension ref="A1:I48"/>
  <sheetViews>
    <sheetView tabSelected="1" zoomScale="78" zoomScaleNormal="100" workbookViewId="0">
      <selection activeCell="H28" sqref="H28"/>
    </sheetView>
  </sheetViews>
  <sheetFormatPr defaultRowHeight="14.25" x14ac:dyDescent="0.45"/>
  <cols>
    <col min="1" max="1" width="15.73046875" style="1" bestFit="1" customWidth="1"/>
    <col min="2" max="2" width="16.6640625" customWidth="1"/>
    <col min="3" max="3" width="11.19921875" bestFit="1" customWidth="1"/>
    <col min="4" max="4" width="11.33203125" bestFit="1" customWidth="1"/>
    <col min="5" max="5" width="12.53125" bestFit="1" customWidth="1"/>
    <col min="6" max="6" width="11.33203125" bestFit="1" customWidth="1"/>
    <col min="7" max="7" width="14.59765625" bestFit="1" customWidth="1"/>
    <col min="8" max="8" width="16.46484375" bestFit="1" customWidth="1"/>
    <col min="9" max="9" width="14.59765625" bestFit="1" customWidth="1"/>
    <col min="10" max="10" width="15.9296875" bestFit="1" customWidth="1"/>
  </cols>
  <sheetData>
    <row r="1" spans="1:9" s="1" customFormat="1" x14ac:dyDescent="0.45">
      <c r="A1" s="1" t="s">
        <v>7</v>
      </c>
      <c r="B1" s="11" t="s">
        <v>11</v>
      </c>
      <c r="C1" s="11"/>
      <c r="D1" s="11"/>
      <c r="E1" s="11"/>
      <c r="F1" s="11"/>
      <c r="G1" s="11"/>
    </row>
    <row r="2" spans="1:9" s="1" customFormat="1" x14ac:dyDescent="0.45"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</row>
    <row r="3" spans="1:9" x14ac:dyDescent="0.45">
      <c r="A3" s="1">
        <v>2019</v>
      </c>
      <c r="B3" s="3">
        <v>400000</v>
      </c>
      <c r="C3" s="3">
        <v>650000</v>
      </c>
      <c r="D3" s="3">
        <v>820000</v>
      </c>
      <c r="E3" s="3">
        <v>910000</v>
      </c>
      <c r="F3" s="3">
        <v>970000</v>
      </c>
      <c r="G3" s="3">
        <v>1000000</v>
      </c>
    </row>
    <row r="4" spans="1:9" x14ac:dyDescent="0.45">
      <c r="A4" s="1">
        <v>2020</v>
      </c>
      <c r="B4" s="3">
        <v>420000</v>
      </c>
      <c r="C4" s="3">
        <v>682500</v>
      </c>
      <c r="D4" s="3">
        <v>861000</v>
      </c>
      <c r="E4" s="3">
        <v>955500</v>
      </c>
      <c r="F4" s="3">
        <v>1009000</v>
      </c>
      <c r="G4" s="8">
        <f>F4*F12</f>
        <v>1040206.1855670102</v>
      </c>
      <c r="I4" s="1"/>
    </row>
    <row r="5" spans="1:9" x14ac:dyDescent="0.45">
      <c r="A5" s="1">
        <v>2021</v>
      </c>
      <c r="B5" s="3">
        <v>441000</v>
      </c>
      <c r="C5" s="3">
        <v>716625</v>
      </c>
      <c r="D5" s="3">
        <v>904050</v>
      </c>
      <c r="E5" s="3">
        <v>1023975</v>
      </c>
      <c r="F5" s="8">
        <f>E5*E12</f>
        <v>1086275.2747252749</v>
      </c>
      <c r="G5" s="8">
        <f>F5*F12</f>
        <v>1119871.4172425512</v>
      </c>
      <c r="I5" s="1"/>
    </row>
    <row r="6" spans="1:9" x14ac:dyDescent="0.45">
      <c r="A6" s="1">
        <v>2022</v>
      </c>
      <c r="B6" s="3">
        <v>463050</v>
      </c>
      <c r="C6" s="3">
        <v>752456</v>
      </c>
      <c r="D6" s="3">
        <v>1049253</v>
      </c>
      <c r="E6" s="8">
        <f>D6*D12</f>
        <v>1172816.8941316416</v>
      </c>
      <c r="F6" s="8">
        <f>E6*E12</f>
        <v>1244172.9474599406</v>
      </c>
      <c r="G6" s="8">
        <f>F6*F12</f>
        <v>1282652.5231545777</v>
      </c>
      <c r="I6" s="1"/>
    </row>
    <row r="7" spans="1:9" x14ac:dyDescent="0.45">
      <c r="A7" s="1">
        <v>2023</v>
      </c>
      <c r="B7" s="3">
        <v>486203</v>
      </c>
      <c r="C7" s="3">
        <v>1030050</v>
      </c>
      <c r="D7" s="8">
        <f>C12*C7</f>
        <v>1336214.7320209553</v>
      </c>
      <c r="E7" s="8">
        <f>D12*D7</f>
        <v>1493572.2956253265</v>
      </c>
      <c r="F7" s="8">
        <f>E12*E7</f>
        <v>1584443.619963828</v>
      </c>
      <c r="G7" s="8">
        <f>F12*F7</f>
        <v>1633447.0308905442</v>
      </c>
      <c r="I7" s="1"/>
    </row>
    <row r="8" spans="1:9" x14ac:dyDescent="0.45">
      <c r="A8" s="1">
        <v>2024</v>
      </c>
      <c r="B8" s="3">
        <v>664000</v>
      </c>
      <c r="C8" s="8">
        <f>B12*B8</f>
        <v>1151091.2931687005</v>
      </c>
      <c r="D8" s="8">
        <f>C8*C12</f>
        <v>1493233.4778244453</v>
      </c>
      <c r="E8" s="8">
        <f>D8*D12</f>
        <v>1669082.1467038507</v>
      </c>
      <c r="F8" s="8">
        <f>E8*E12</f>
        <v>1770631.7707461382</v>
      </c>
      <c r="G8" s="8">
        <f>F8*F12</f>
        <v>1825393.5780888021</v>
      </c>
      <c r="I8" s="1"/>
    </row>
    <row r="10" spans="1:9" x14ac:dyDescent="0.45">
      <c r="A10" s="1" t="s">
        <v>10</v>
      </c>
      <c r="B10" s="3">
        <f>SUM(B3:B8)</f>
        <v>2874253</v>
      </c>
      <c r="C10" s="3">
        <f>SUM(C3:C7)</f>
        <v>3831631</v>
      </c>
      <c r="D10" s="3">
        <f>SUM(D3:D6)</f>
        <v>3634303</v>
      </c>
      <c r="E10" s="3">
        <f>SUM(E3:E5)</f>
        <v>2889475</v>
      </c>
      <c r="F10" s="3">
        <f>SUM(F3:F4)</f>
        <v>1979000</v>
      </c>
      <c r="G10" s="3">
        <f>SUM(G3)</f>
        <v>1000000</v>
      </c>
    </row>
    <row r="11" spans="1:9" x14ac:dyDescent="0.45">
      <c r="A11" s="1" t="s">
        <v>9</v>
      </c>
      <c r="B11" s="3">
        <f>SUM(B3:B7)</f>
        <v>2210253</v>
      </c>
      <c r="C11" s="3">
        <f>SUM(C3:C6)</f>
        <v>2801581</v>
      </c>
      <c r="D11" s="3">
        <f>SUM(D3:D5)</f>
        <v>2585050</v>
      </c>
      <c r="E11" s="3">
        <f>SUM(E3:E4)</f>
        <v>1865500</v>
      </c>
      <c r="F11" s="3">
        <f>F3</f>
        <v>970000</v>
      </c>
    </row>
    <row r="12" spans="1:9" x14ac:dyDescent="0.45">
      <c r="A12" s="1" t="s">
        <v>8</v>
      </c>
      <c r="B12" s="7">
        <f>C10/B11</f>
        <v>1.7335712246516575</v>
      </c>
      <c r="C12" s="7">
        <f>D10/C11</f>
        <v>1.2972328838609342</v>
      </c>
      <c r="D12" s="7">
        <f>E10/D11</f>
        <v>1.1177636796193497</v>
      </c>
      <c r="E12" s="7">
        <f>F10/E11</f>
        <v>1.0608415974269634</v>
      </c>
      <c r="F12" s="7">
        <f>G10/F11</f>
        <v>1.0309278350515463</v>
      </c>
    </row>
    <row r="14" spans="1:9" x14ac:dyDescent="0.45">
      <c r="A14" s="1" t="s">
        <v>7</v>
      </c>
      <c r="B14" s="1" t="s">
        <v>6</v>
      </c>
      <c r="C14" s="1" t="s">
        <v>5</v>
      </c>
      <c r="D14" s="6" t="s">
        <v>4</v>
      </c>
      <c r="E14" s="1" t="s">
        <v>3</v>
      </c>
      <c r="F14" s="1" t="s">
        <v>0</v>
      </c>
    </row>
    <row r="15" spans="1:9" x14ac:dyDescent="0.45">
      <c r="A15" s="1">
        <v>2019</v>
      </c>
      <c r="B15">
        <f>G3/G3 * 100</f>
        <v>100</v>
      </c>
      <c r="C15">
        <f t="shared" ref="C15:C20" si="0">100-B15</f>
        <v>0</v>
      </c>
      <c r="D15" s="3">
        <f>G3/$B$23</f>
        <v>1538461.5384615385</v>
      </c>
      <c r="E15" s="5">
        <f t="shared" ref="E15:E20" si="1">D15*$B$23</f>
        <v>1000000</v>
      </c>
      <c r="F15" s="5">
        <f>G3 + (G3*C15/100)</f>
        <v>1000000</v>
      </c>
    </row>
    <row r="16" spans="1:9" x14ac:dyDescent="0.45">
      <c r="A16" s="1">
        <v>2020</v>
      </c>
      <c r="B16">
        <f>F4/G4 * 100</f>
        <v>97.000000000000014</v>
      </c>
      <c r="C16">
        <f t="shared" si="0"/>
        <v>2.9999999999999858</v>
      </c>
      <c r="D16" s="3">
        <f>D15*1.05</f>
        <v>1615384.6153846155</v>
      </c>
      <c r="E16" s="5">
        <f t="shared" si="1"/>
        <v>1050000</v>
      </c>
      <c r="F16" s="4">
        <f>F4 + (E16*C16/100)</f>
        <v>1040499.9999999999</v>
      </c>
    </row>
    <row r="17" spans="1:7" x14ac:dyDescent="0.45">
      <c r="A17" s="1">
        <v>2021</v>
      </c>
      <c r="B17" s="9">
        <f>E5/G5 *100</f>
        <v>91.436836786255697</v>
      </c>
      <c r="C17" s="9">
        <f t="shared" si="0"/>
        <v>8.5631632137443034</v>
      </c>
      <c r="D17" s="3">
        <f>D16*1.05</f>
        <v>1696153.8461538462</v>
      </c>
      <c r="E17" s="5">
        <f t="shared" si="1"/>
        <v>1102500</v>
      </c>
      <c r="F17" s="2">
        <f>E5+(E17*C17/100)</f>
        <v>1118383.8744315309</v>
      </c>
    </row>
    <row r="18" spans="1:7" x14ac:dyDescent="0.45">
      <c r="A18" s="1">
        <v>2022</v>
      </c>
      <c r="B18" s="9">
        <f>D6/G6 * 100</f>
        <v>81.803370831832851</v>
      </c>
      <c r="C18" s="9">
        <f t="shared" si="0"/>
        <v>18.196629168167149</v>
      </c>
      <c r="D18" s="3">
        <f>D17*1.05</f>
        <v>1780961.5384615387</v>
      </c>
      <c r="E18" s="5">
        <f t="shared" si="1"/>
        <v>1157625.0000000002</v>
      </c>
      <c r="F18" s="2">
        <f>D6+(E18*C18/100)</f>
        <v>1259901.7284079951</v>
      </c>
    </row>
    <row r="19" spans="1:7" x14ac:dyDescent="0.45">
      <c r="A19" s="1">
        <v>2023</v>
      </c>
      <c r="B19" s="9">
        <f>C7/G7 * 100</f>
        <v>63.059896067668866</v>
      </c>
      <c r="C19" s="9">
        <f t="shared" si="0"/>
        <v>36.940103932331134</v>
      </c>
      <c r="D19" s="3">
        <f>D18*1.05</f>
        <v>1870009.6153846157</v>
      </c>
      <c r="E19" s="5">
        <f t="shared" si="1"/>
        <v>1215506.2500000002</v>
      </c>
      <c r="F19" s="2">
        <f>C7+(E19*C19/100)</f>
        <v>1479059.2720539807</v>
      </c>
    </row>
    <row r="20" spans="1:7" x14ac:dyDescent="0.45">
      <c r="A20" s="1">
        <v>2024</v>
      </c>
      <c r="B20" s="9">
        <f>B8/G8 * 100</f>
        <v>36.375716884860083</v>
      </c>
      <c r="C20" s="9">
        <f t="shared" si="0"/>
        <v>63.624283115139917</v>
      </c>
      <c r="D20" s="3">
        <f>D19*1.05</f>
        <v>1963510.0961538467</v>
      </c>
      <c r="E20" s="5">
        <f t="shared" si="1"/>
        <v>1276281.5625000005</v>
      </c>
      <c r="F20" s="2">
        <f>B8+(E20*C20/100)</f>
        <v>1476024.9946713317</v>
      </c>
    </row>
    <row r="21" spans="1:7" x14ac:dyDescent="0.45">
      <c r="C21" s="3"/>
      <c r="D21" s="3"/>
      <c r="E21" s="3"/>
      <c r="F21" s="3"/>
      <c r="G21" s="3"/>
    </row>
    <row r="22" spans="1:7" x14ac:dyDescent="0.45">
      <c r="C22" s="3"/>
      <c r="D22" s="3"/>
      <c r="E22" s="3"/>
      <c r="F22" s="3"/>
      <c r="G22" s="3"/>
    </row>
    <row r="23" spans="1:7" x14ac:dyDescent="0.45">
      <c r="A23" s="1" t="s">
        <v>2</v>
      </c>
      <c r="B23" s="10">
        <v>0.65</v>
      </c>
      <c r="C23" s="3"/>
      <c r="D23" s="3"/>
      <c r="E23" s="3"/>
      <c r="F23" s="3"/>
      <c r="G23" s="3"/>
    </row>
    <row r="34" spans="1:2" x14ac:dyDescent="0.45">
      <c r="A34"/>
    </row>
    <row r="42" spans="1:2" x14ac:dyDescent="0.45">
      <c r="A42" s="1" t="s">
        <v>1</v>
      </c>
      <c r="B42" s="1" t="s">
        <v>0</v>
      </c>
    </row>
    <row r="43" spans="1:2" x14ac:dyDescent="0.45">
      <c r="A43" s="3">
        <v>1000000</v>
      </c>
      <c r="B43" s="5">
        <v>1000000</v>
      </c>
    </row>
    <row r="44" spans="1:2" x14ac:dyDescent="0.45">
      <c r="A44" s="3">
        <v>1040206</v>
      </c>
      <c r="B44" s="4">
        <v>1040500</v>
      </c>
    </row>
    <row r="45" spans="1:2" x14ac:dyDescent="0.45">
      <c r="A45" s="3">
        <v>1119871</v>
      </c>
      <c r="B45" s="2">
        <v>1118384</v>
      </c>
    </row>
    <row r="46" spans="1:2" x14ac:dyDescent="0.45">
      <c r="A46" s="3">
        <v>1282653</v>
      </c>
      <c r="B46" s="2">
        <v>1259902</v>
      </c>
    </row>
    <row r="47" spans="1:2" x14ac:dyDescent="0.45">
      <c r="A47" s="3">
        <v>1633447</v>
      </c>
      <c r="B47" s="2">
        <v>1479059</v>
      </c>
    </row>
    <row r="48" spans="1:2" x14ac:dyDescent="0.45">
      <c r="A48" s="3">
        <v>1825394</v>
      </c>
      <c r="B48" s="2">
        <v>1476025</v>
      </c>
    </row>
  </sheetData>
  <mergeCells count="1">
    <mergeCell ref="B1:G1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Choudry, QASIM A</dc:creator>
  <cp:lastModifiedBy>Choudry, QASIM A</cp:lastModifiedBy>
  <dcterms:created xsi:type="dcterms:W3CDTF">2026-09-10T00:30:59Z</dcterms:created>
  <dcterms:modified xsi:type="dcterms:W3CDTF">2026-09-10T10:17:03Z</dcterms:modified>
</cp:coreProperties>
</file>